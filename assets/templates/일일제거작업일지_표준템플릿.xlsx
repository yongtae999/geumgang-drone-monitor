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일작업결과표_표준양식" sheetId="1" state="visible" r:id="rId1"/>
    <sheet xmlns:r="http://schemas.openxmlformats.org/officeDocument/2006/relationships" name="예산사용현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맑은 고딕"/>
      <b val="1"/>
      <color rgb="001E293B"/>
      <sz val="16"/>
    </font>
    <font>
      <name val="맑은 고딕"/>
      <i val="1"/>
      <color rgb="0064748B"/>
      <sz val="10"/>
    </font>
    <font>
      <name val="맑은 고딕"/>
      <b val="1"/>
      <color rgb="00FFFFFF"/>
      <sz val="11"/>
    </font>
    <font>
      <name val="맑은 고딕"/>
      <color rgb="000F172A"/>
      <sz val="10"/>
    </font>
    <font>
      <name val="맑은 고딕"/>
      <b val="1"/>
      <color rgb="001E3A8A"/>
      <sz val="11"/>
    </font>
    <font>
      <name val="맑은 고딕"/>
      <color rgb="0094A3B8"/>
      <sz val="10"/>
    </font>
    <font>
      <name val="맑은 고딕"/>
      <b val="1"/>
      <color rgb="001E3A8A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EFF6FF"/>
        <b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6" fillId="4" borderId="1" applyAlignment="1" pivotButton="0" quotePrefix="0" xfId="0">
      <alignment horizontal="center" vertical="center" wrapText="1"/>
    </xf>
    <xf numFmtId="3" fontId="5" fillId="4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13" customWidth="1" min="4" max="4"/>
    <col width="24" customWidth="1" min="5" max="5"/>
    <col width="8" customWidth="1" min="6" max="6"/>
    <col width="9" customWidth="1" min="7" max="7"/>
    <col width="8" customWidth="1" min="8" max="8"/>
    <col width="8" customWidth="1" min="9" max="9"/>
    <col width="8" customWidth="1" min="10" max="10"/>
    <col width="14" customWidth="1" min="11" max="11"/>
    <col width="10" customWidth="1" min="12" max="12"/>
    <col width="16" customWidth="1" min="13" max="13"/>
    <col width="10" customWidth="1" min="14" max="14"/>
    <col width="18" customWidth="1" min="15" max="15"/>
    <col width="30" customWidth="1" min="16" max="16"/>
  </cols>
  <sheetData>
    <row r="1" ht="32" customHeight="1">
      <c r="A1" s="1" t="inlineStr">
        <is>
          <t>2026년 생태계교란생물 / 외래생물 제거사업 일일 작업결과표 (공통 표준양식)</t>
        </is>
      </c>
    </row>
    <row r="2" ht="20" customHeight="1">
      <c r="A2" s="2" t="inlineStr">
        <is>
          <t>※ (사)야생생물관리협회 전국 지부 및 유역환경청 보고용 공통 표준 서식 (구간 구분 없이 사업 대상지 전체 단위로 작성)</t>
        </is>
      </c>
    </row>
    <row r="4" ht="24" customHeight="1">
      <c r="A4" s="3" t="inlineStr">
        <is>
          <t>구분
(회차)</t>
        </is>
      </c>
      <c r="B4" s="3" t="inlineStr">
        <is>
          <t>대상식물 / 생물
(종명)</t>
        </is>
      </c>
      <c r="C4" s="3" t="inlineStr">
        <is>
          <t>작업장소
(대상지 일원)</t>
        </is>
      </c>
      <c r="D4" s="3" t="inlineStr">
        <is>
          <t>작업일자
(YYYY-MM-DD)</t>
        </is>
      </c>
      <c r="E4" s="3" t="inlineStr">
        <is>
          <t>제거 / 포획방법</t>
        </is>
      </c>
      <c r="F4" s="3" t="inlineStr">
        <is>
          <t>생육단계 (해당란 √ 표시)</t>
        </is>
      </c>
      <c r="G4" s="4" t="n"/>
      <c r="H4" s="4" t="n"/>
      <c r="I4" s="4" t="n"/>
      <c r="J4" s="4" t="n"/>
      <c r="K4" s="3" t="inlineStr">
        <is>
          <t>제거면적
(㎡)</t>
        </is>
      </c>
      <c r="L4" s="3" t="inlineStr">
        <is>
          <t>소요시간
(시간)</t>
        </is>
      </c>
      <c r="M4" s="3" t="inlineStr">
        <is>
          <t>제거량 / 포획량
(kg 또는 마리)</t>
        </is>
      </c>
      <c r="N4" s="3" t="inlineStr">
        <is>
          <t>투입인력
(명)</t>
        </is>
      </c>
      <c r="O4" s="3" t="inlineStr">
        <is>
          <t>제거종
(상세)</t>
        </is>
      </c>
      <c r="P4" s="3" t="inlineStr">
        <is>
          <t>비고 / 작업세부사항
(특이사항)</t>
        </is>
      </c>
    </row>
    <row r="5" ht="22" customHeight="1">
      <c r="A5" s="4" t="n"/>
      <c r="B5" s="4" t="n"/>
      <c r="C5" s="4" t="n"/>
      <c r="D5" s="4" t="n"/>
      <c r="E5" s="4" t="n"/>
      <c r="F5" s="3" t="inlineStr">
        <is>
          <t>로제트</t>
        </is>
      </c>
      <c r="G5" s="3" t="inlineStr">
        <is>
          <t>영양생장</t>
        </is>
      </c>
      <c r="H5" s="3" t="inlineStr">
        <is>
          <t>개화</t>
        </is>
      </c>
      <c r="I5" s="3" t="inlineStr">
        <is>
          <t>결실</t>
        </is>
      </c>
      <c r="J5" s="3" t="inlineStr">
        <is>
          <t>고사</t>
        </is>
      </c>
      <c r="K5" s="4" t="n"/>
      <c r="L5" s="4" t="n"/>
      <c r="M5" s="4" t="n"/>
      <c r="N5" s="4" t="n"/>
      <c r="O5" s="4" t="n"/>
      <c r="P5" s="4" t="n"/>
    </row>
    <row r="6" ht="22" customHeight="1">
      <c r="A6" s="5" t="n">
        <v>1</v>
      </c>
      <c r="B6" s="6" t="inlineStr">
        <is>
          <t>가시박, 환삼덩굴</t>
        </is>
      </c>
      <c r="C6" s="6" t="inlineStr">
        <is>
          <t>천내리 습지 일대</t>
        </is>
      </c>
      <c r="D6" s="5" t="inlineStr">
        <is>
          <t>2026-07-24</t>
        </is>
      </c>
      <c r="E6" s="6" t="inlineStr">
        <is>
          <t>손으로 뿌리뽑기</t>
        </is>
      </c>
      <c r="F6" s="5" t="inlineStr">
        <is>
          <t>√</t>
        </is>
      </c>
      <c r="G6" s="5" t="inlineStr">
        <is>
          <t>√</t>
        </is>
      </c>
      <c r="H6" s="7" t="inlineStr"/>
      <c r="I6" s="7" t="inlineStr"/>
      <c r="J6" s="7" t="inlineStr"/>
      <c r="K6" s="8" t="n">
        <v>18000</v>
      </c>
      <c r="L6" s="8" t="n">
        <v>6</v>
      </c>
      <c r="M6" s="8" t="n">
        <v>80</v>
      </c>
      <c r="N6" s="8" t="n">
        <v>4</v>
      </c>
      <c r="O6" s="6" t="inlineStr">
        <is>
          <t>가시박, 환삼덩굴</t>
        </is>
      </c>
      <c r="P6" s="6" t="inlineStr">
        <is>
          <t>발아기 유묘 및 로제트 손 뿌리뽑기 집중</t>
        </is>
      </c>
    </row>
    <row r="7" ht="22" customHeight="1">
      <c r="A7" s="5" t="n">
        <v>2</v>
      </c>
      <c r="B7" s="6" t="inlineStr">
        <is>
          <t>가시박, 환삼덩굴</t>
        </is>
      </c>
      <c r="C7" s="6" t="inlineStr">
        <is>
          <t>천내리 습지 일대</t>
        </is>
      </c>
      <c r="D7" s="5" t="inlineStr">
        <is>
          <t>2026-08-06</t>
        </is>
      </c>
      <c r="E7" s="6" t="inlineStr">
        <is>
          <t>낫으로 베기, 예초기 사용</t>
        </is>
      </c>
      <c r="F7" s="7" t="inlineStr"/>
      <c r="G7" s="5" t="inlineStr">
        <is>
          <t>√</t>
        </is>
      </c>
      <c r="H7" s="7" t="inlineStr"/>
      <c r="I7" s="7" t="inlineStr"/>
      <c r="J7" s="7" t="inlineStr"/>
      <c r="K7" s="8" t="n">
        <v>48000</v>
      </c>
      <c r="L7" s="8" t="n">
        <v>6</v>
      </c>
      <c r="M7" s="8" t="n">
        <v>800</v>
      </c>
      <c r="N7" s="8" t="n">
        <v>5</v>
      </c>
      <c r="O7" s="6" t="inlineStr">
        <is>
          <t>가시박, 환삼덩굴</t>
        </is>
      </c>
      <c r="P7" s="6" t="inlineStr">
        <is>
          <t>영양생장기 대군락지 예초 및 지상부 낫베기</t>
        </is>
      </c>
    </row>
    <row r="8" ht="22" customHeight="1">
      <c r="A8" s="5" t="n">
        <v>3</v>
      </c>
      <c r="B8" s="6" t="inlineStr">
        <is>
          <t>황소개구리, 미국수련</t>
        </is>
      </c>
      <c r="C8" s="6" t="inlineStr">
        <is>
          <t>두웅습지 일원</t>
        </is>
      </c>
      <c r="D8" s="5" t="inlineStr">
        <is>
          <t>2026-08-20</t>
        </is>
      </c>
      <c r="E8" s="6" t="inlineStr">
        <is>
          <t>포획통발 가동, 뿌리 굴취</t>
        </is>
      </c>
      <c r="F8" s="7" t="inlineStr"/>
      <c r="G8" s="5" t="inlineStr">
        <is>
          <t>√</t>
        </is>
      </c>
      <c r="H8" s="5" t="inlineStr">
        <is>
          <t>√</t>
        </is>
      </c>
      <c r="I8" s="7" t="inlineStr"/>
      <c r="J8" s="7" t="inlineStr"/>
      <c r="K8" s="8" t="n">
        <v>1200</v>
      </c>
      <c r="L8" s="8" t="n">
        <v>6</v>
      </c>
      <c r="M8" s="8" t="n">
        <v>350</v>
      </c>
      <c r="N8" s="8" t="n">
        <v>5</v>
      </c>
      <c r="O8" s="6" t="inlineStr">
        <is>
          <t>미국수련, 황소개구리</t>
        </is>
      </c>
      <c r="P8" s="6" t="inlineStr">
        <is>
          <t>수생식물 지하경 굴취 및 황소개구리 포획통발 15개소 가동</t>
        </is>
      </c>
    </row>
    <row r="9" ht="22" customHeight="1">
      <c r="A9" s="7" t="n">
        <v>4</v>
      </c>
      <c r="B9" s="9" t="inlineStr"/>
      <c r="C9" s="9" t="inlineStr"/>
      <c r="D9" s="7" t="inlineStr"/>
      <c r="E9" s="9" t="inlineStr"/>
      <c r="F9" s="7" t="inlineStr"/>
      <c r="G9" s="7" t="inlineStr"/>
      <c r="H9" s="7" t="inlineStr"/>
      <c r="I9" s="7" t="inlineStr"/>
      <c r="J9" s="7" t="inlineStr"/>
      <c r="K9" s="10" t="inlineStr"/>
      <c r="L9" s="10" t="inlineStr"/>
      <c r="M9" s="10" t="inlineStr"/>
      <c r="N9" s="10" t="inlineStr"/>
      <c r="O9" s="9" t="inlineStr"/>
      <c r="P9" s="9" t="inlineStr"/>
    </row>
    <row r="10" ht="22" customHeight="1">
      <c r="A10" s="7" t="n">
        <v>5</v>
      </c>
      <c r="B10" s="9" t="inlineStr"/>
      <c r="C10" s="9" t="inlineStr"/>
      <c r="D10" s="7" t="inlineStr"/>
      <c r="E10" s="9" t="inlineStr"/>
      <c r="F10" s="7" t="inlineStr"/>
      <c r="G10" s="7" t="inlineStr"/>
      <c r="H10" s="7" t="inlineStr"/>
      <c r="I10" s="7" t="inlineStr"/>
      <c r="J10" s="7" t="inlineStr"/>
      <c r="K10" s="10" t="inlineStr"/>
      <c r="L10" s="10" t="inlineStr"/>
      <c r="M10" s="10" t="inlineStr"/>
      <c r="N10" s="10" t="inlineStr"/>
      <c r="O10" s="9" t="inlineStr"/>
      <c r="P10" s="9" t="inlineStr"/>
    </row>
    <row r="11" ht="22" customHeight="1">
      <c r="A11" s="7" t="n">
        <v>6</v>
      </c>
      <c r="B11" s="9" t="inlineStr"/>
      <c r="C11" s="9" t="inlineStr"/>
      <c r="D11" s="7" t="inlineStr"/>
      <c r="E11" s="9" t="inlineStr"/>
      <c r="F11" s="7" t="inlineStr"/>
      <c r="G11" s="7" t="inlineStr"/>
      <c r="H11" s="7" t="inlineStr"/>
      <c r="I11" s="7" t="inlineStr"/>
      <c r="J11" s="7" t="inlineStr"/>
      <c r="K11" s="10" t="inlineStr"/>
      <c r="L11" s="10" t="inlineStr"/>
      <c r="M11" s="10" t="inlineStr"/>
      <c r="N11" s="10" t="inlineStr"/>
      <c r="O11" s="9" t="inlineStr"/>
      <c r="P11" s="9" t="inlineStr"/>
    </row>
    <row r="12" ht="22" customHeight="1">
      <c r="A12" s="7" t="n">
        <v>7</v>
      </c>
      <c r="B12" s="9" t="inlineStr"/>
      <c r="C12" s="9" t="inlineStr"/>
      <c r="D12" s="7" t="inlineStr"/>
      <c r="E12" s="9" t="inlineStr"/>
      <c r="F12" s="7" t="inlineStr"/>
      <c r="G12" s="7" t="inlineStr"/>
      <c r="H12" s="7" t="inlineStr"/>
      <c r="I12" s="7" t="inlineStr"/>
      <c r="J12" s="7" t="inlineStr"/>
      <c r="K12" s="10" t="inlineStr"/>
      <c r="L12" s="10" t="inlineStr"/>
      <c r="M12" s="10" t="inlineStr"/>
      <c r="N12" s="10" t="inlineStr"/>
      <c r="O12" s="9" t="inlineStr"/>
      <c r="P12" s="9" t="inlineStr"/>
    </row>
    <row r="13" ht="22" customHeight="1">
      <c r="A13" s="7" t="n">
        <v>8</v>
      </c>
      <c r="B13" s="9" t="inlineStr"/>
      <c r="C13" s="9" t="inlineStr"/>
      <c r="D13" s="7" t="inlineStr"/>
      <c r="E13" s="9" t="inlineStr"/>
      <c r="F13" s="7" t="inlineStr"/>
      <c r="G13" s="7" t="inlineStr"/>
      <c r="H13" s="7" t="inlineStr"/>
      <c r="I13" s="7" t="inlineStr"/>
      <c r="J13" s="7" t="inlineStr"/>
      <c r="K13" s="10" t="inlineStr"/>
      <c r="L13" s="10" t="inlineStr"/>
      <c r="M13" s="10" t="inlineStr"/>
      <c r="N13" s="10" t="inlineStr"/>
      <c r="O13" s="9" t="inlineStr"/>
      <c r="P13" s="9" t="inlineStr"/>
    </row>
    <row r="14" ht="24" customHeight="1">
      <c r="A14" s="11" t="inlineStr">
        <is>
          <t>누적 합계 (SUM)</t>
        </is>
      </c>
      <c r="B14" s="12" t="n"/>
      <c r="C14" s="12" t="n"/>
      <c r="D14" s="12" t="n"/>
      <c r="E14" s="12" t="n"/>
      <c r="F14" s="13" t="inlineStr">
        <is>
          <t>-</t>
        </is>
      </c>
      <c r="G14" s="13" t="inlineStr">
        <is>
          <t>-</t>
        </is>
      </c>
      <c r="H14" s="13" t="inlineStr">
        <is>
          <t>-</t>
        </is>
      </c>
      <c r="I14" s="13" t="inlineStr">
        <is>
          <t>-</t>
        </is>
      </c>
      <c r="J14" s="13" t="inlineStr">
        <is>
          <t>-</t>
        </is>
      </c>
      <c r="K14" s="14">
        <f>SUM(K6:K13)</f>
        <v/>
      </c>
      <c r="L14" s="14">
        <f>SUM(L6:L13)</f>
        <v/>
      </c>
      <c r="M14" s="14">
        <f>SUM(M6:M13)</f>
        <v/>
      </c>
      <c r="N14" s="14">
        <f>SUM(N6:N13)</f>
        <v/>
      </c>
      <c r="O14" s="12" t="inlineStr"/>
      <c r="P14" s="12" t="inlineStr"/>
    </row>
  </sheetData>
  <mergeCells count="15">
    <mergeCell ref="M4:M5"/>
    <mergeCell ref="B4:B5"/>
    <mergeCell ref="C4:C5"/>
    <mergeCell ref="A4:A5"/>
    <mergeCell ref="D4:D5"/>
    <mergeCell ref="A2:N2"/>
    <mergeCell ref="E4:E5"/>
    <mergeCell ref="N4:N5"/>
    <mergeCell ref="K4:K5"/>
    <mergeCell ref="L4:L5"/>
    <mergeCell ref="O4:O5"/>
    <mergeCell ref="P4:P5"/>
    <mergeCell ref="A14:E14"/>
    <mergeCell ref="F4:J4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6" customWidth="1" min="3" max="3"/>
    <col width="16" customWidth="1" min="4" max="4"/>
    <col width="16" customWidth="1" min="5" max="5"/>
    <col width="14" customWidth="1" min="6" max="6"/>
  </cols>
  <sheetData>
    <row r="1" ht="30" customHeight="1">
      <c r="A1" s="1" t="inlineStr">
        <is>
          <t>생태계교란생물 제거사업 예산 사용 및 집행 현황</t>
        </is>
      </c>
    </row>
    <row r="2" ht="18" customHeight="1">
      <c r="A2" s="15" t="inlineStr">
        <is>
          <t>(단위: 원, 부가세 포함 기준)</t>
        </is>
      </c>
    </row>
    <row r="4" ht="24" customHeight="1">
      <c r="A4" s="3" t="inlineStr">
        <is>
          <t>구분</t>
        </is>
      </c>
      <c r="B4" s="3" t="inlineStr">
        <is>
          <t>예산 세부항목</t>
        </is>
      </c>
      <c r="C4" s="3" t="inlineStr">
        <is>
          <t>예산액 (원)</t>
        </is>
      </c>
      <c r="D4" s="3" t="inlineStr">
        <is>
          <t>집행액 (원)</t>
        </is>
      </c>
      <c r="E4" s="3" t="inlineStr">
        <is>
          <t>잔액 (원)</t>
        </is>
      </c>
      <c r="F4" s="3" t="inlineStr">
        <is>
          <t>집행률 (%)</t>
        </is>
      </c>
    </row>
    <row r="5" ht="22" customHeight="1">
      <c r="A5" s="7" t="inlineStr">
        <is>
          <t>인건비</t>
        </is>
      </c>
      <c r="B5" s="9" t="inlineStr">
        <is>
          <t>특별인부 (작업원 인건비)</t>
        </is>
      </c>
      <c r="C5" s="16" t="n">
        <v>10175490</v>
      </c>
      <c r="D5" s="16">
        <f> 일일작업결과표_표준양식!N14 * 226122</f>
        <v/>
      </c>
      <c r="E5" s="16">
        <f>C5-D5</f>
        <v/>
      </c>
      <c r="F5" s="17">
        <f>D5/C5</f>
        <v/>
      </c>
    </row>
    <row r="6" ht="22" customHeight="1">
      <c r="A6" s="7" t="inlineStr">
        <is>
          <t>인건비</t>
        </is>
      </c>
      <c r="B6" s="9" t="inlineStr">
        <is>
          <t>관리자 인건비 (연구보조원 등)</t>
        </is>
      </c>
      <c r="C6" s="16" t="n">
        <v>1993000</v>
      </c>
      <c r="D6" s="16" t="n">
        <v>0</v>
      </c>
      <c r="E6" s="16">
        <f>C6-D6</f>
        <v/>
      </c>
      <c r="F6" s="17">
        <f>D6/C6</f>
        <v/>
      </c>
    </row>
    <row r="7" ht="22" customHeight="1">
      <c r="A7" s="7" t="inlineStr">
        <is>
          <t>경비</t>
        </is>
      </c>
      <c r="B7" s="9" t="inlineStr">
        <is>
          <t>조사단 운영비 (책임/전문조사원)</t>
        </is>
      </c>
      <c r="C7" s="16" t="n">
        <v>615124</v>
      </c>
      <c r="D7" s="16" t="n">
        <v>0</v>
      </c>
      <c r="E7" s="16">
        <f>C7-D7</f>
        <v/>
      </c>
      <c r="F7" s="17">
        <f>D7/C7</f>
        <v/>
      </c>
    </row>
    <row r="8" ht="22" customHeight="1">
      <c r="A8" s="7" t="inlineStr">
        <is>
          <t>경비</t>
        </is>
      </c>
      <c r="B8" s="9" t="inlineStr">
        <is>
          <t>회의비 및 사전 안전교육비</t>
        </is>
      </c>
      <c r="C8" s="16" t="n">
        <v>200000</v>
      </c>
      <c r="D8" s="16" t="n">
        <v>100000</v>
      </c>
      <c r="E8" s="16">
        <f>C8-D8</f>
        <v/>
      </c>
      <c r="F8" s="17">
        <f>D8/C8</f>
        <v/>
      </c>
    </row>
    <row r="9" ht="22" customHeight="1">
      <c r="A9" s="7" t="inlineStr">
        <is>
          <t>경비</t>
        </is>
      </c>
      <c r="B9" s="9" t="inlineStr">
        <is>
          <t>재료비 (예초기 날, 소모품 등)</t>
        </is>
      </c>
      <c r="C9" s="16" t="n">
        <v>450000</v>
      </c>
      <c r="D9" s="16" t="n">
        <v>260000</v>
      </c>
      <c r="E9" s="16">
        <f>C9-D9</f>
        <v/>
      </c>
      <c r="F9" s="17">
        <f>D9/C9</f>
        <v/>
      </c>
    </row>
    <row r="10" ht="22" customHeight="1">
      <c r="A10" s="7" t="inlineStr">
        <is>
          <t>경비</t>
        </is>
      </c>
      <c r="B10" s="9" t="inlineStr">
        <is>
          <t>홍보비 (현수막 제작 등)</t>
        </is>
      </c>
      <c r="C10" s="16" t="n">
        <v>30000</v>
      </c>
      <c r="D10" s="16" t="n">
        <v>30000</v>
      </c>
      <c r="E10" s="16">
        <f>C10-D10</f>
        <v/>
      </c>
      <c r="F10" s="17">
        <f>D10/C10</f>
        <v/>
      </c>
    </row>
    <row r="11" ht="22" customHeight="1">
      <c r="A11" s="7" t="inlineStr">
        <is>
          <t>경비</t>
        </is>
      </c>
      <c r="B11" s="9" t="inlineStr">
        <is>
          <t>결과보고서 제작 및 인쇄비</t>
        </is>
      </c>
      <c r="C11" s="16" t="n">
        <v>250000</v>
      </c>
      <c r="D11" s="16" t="n">
        <v>0</v>
      </c>
      <c r="E11" s="16">
        <f>C11-D11</f>
        <v/>
      </c>
      <c r="F11" s="17">
        <f>D11/C11</f>
        <v/>
      </c>
    </row>
    <row r="12" ht="22" customHeight="1">
      <c r="A12" s="7" t="inlineStr">
        <is>
          <t>경비</t>
        </is>
      </c>
      <c r="B12" s="9" t="inlineStr">
        <is>
          <t>안전보건관리비 (상해보험료 등)</t>
        </is>
      </c>
      <c r="C12" s="16" t="n">
        <v>455000</v>
      </c>
      <c r="D12" s="16" t="n">
        <v>0</v>
      </c>
      <c r="E12" s="16">
        <f>C12-D12</f>
        <v/>
      </c>
      <c r="F12" s="17">
        <f>D12/C12</f>
        <v/>
      </c>
    </row>
    <row r="13" ht="22" customHeight="1">
      <c r="A13" s="7" t="inlineStr">
        <is>
          <t>일반관리비</t>
        </is>
      </c>
      <c r="B13" s="9" t="inlineStr">
        <is>
          <t>일반관리비</t>
        </is>
      </c>
      <c r="C13" s="16" t="n">
        <v>831600</v>
      </c>
      <c r="D13" s="16" t="n">
        <v>0</v>
      </c>
      <c r="E13" s="16">
        <f>C13-D13</f>
        <v/>
      </c>
      <c r="F13" s="17">
        <f>D13/C13</f>
        <v/>
      </c>
    </row>
    <row r="14" ht="24" customHeight="1">
      <c r="A14" s="11" t="inlineStr">
        <is>
          <t>총 계</t>
        </is>
      </c>
      <c r="B14" s="18" t="inlineStr">
        <is>
          <t>사업비 총괄 합계</t>
        </is>
      </c>
      <c r="C14" s="14">
        <f>SUM(C5:C13)</f>
        <v/>
      </c>
      <c r="D14" s="14">
        <f>SUM(D5:D13)</f>
        <v/>
      </c>
      <c r="E14" s="14">
        <f>SUM(E5:E13)</f>
        <v/>
      </c>
      <c r="F14" s="19">
        <f>D14/C14</f>
        <v/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2026-08-18T02:08:56Z</dcterms:created>
  <dcterms:modified xmlns:dcterms="http://purl.org/dc/terms/" xmlns:xsi="http://www.w3.org/2001/XMLSchema-instance" xsi:type="dcterms:W3CDTF">2026-08-18T02:08:56Z</dcterms:modified>
</cp:coreProperties>
</file>